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udiant\Desktop\Stage_Bx_2025\Stage_2025\"/>
    </mc:Choice>
  </mc:AlternateContent>
  <xr:revisionPtr revIDLastSave="0" documentId="8_{508A2B42-1A18-4C78-A3FD-DE81631CBD60}" xr6:coauthVersionLast="47" xr6:coauthVersionMax="47" xr10:uidLastSave="{00000000-0000-0000-0000-000000000000}"/>
  <bookViews>
    <workbookView xWindow="-120" yWindow="-120" windowWidth="20730" windowHeight="11040" xr2:uid="{88252850-A27B-446E-8818-D10D67EB13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30" i="1" s="1"/>
  <c r="C38" i="1" s="1"/>
  <c r="B37" i="1"/>
  <c r="I31" i="1"/>
  <c r="I39" i="1" s="1"/>
  <c r="E30" i="1"/>
  <c r="E38" i="1" s="1"/>
  <c r="F30" i="1"/>
  <c r="F38" i="1" s="1"/>
  <c r="G29" i="1"/>
  <c r="G37" i="1" s="1"/>
  <c r="C28" i="1"/>
  <c r="C36" i="1" s="1"/>
  <c r="D28" i="1"/>
  <c r="D36" i="1" s="1"/>
  <c r="B29" i="1"/>
  <c r="D27" i="1"/>
  <c r="D35" i="1" s="1"/>
  <c r="E27" i="1"/>
  <c r="E35" i="1" s="1"/>
  <c r="C12" i="1"/>
  <c r="D12" i="1"/>
  <c r="E12" i="1"/>
  <c r="F12" i="1"/>
  <c r="G12" i="1"/>
  <c r="H12" i="1"/>
  <c r="I12" i="1"/>
  <c r="C13" i="1"/>
  <c r="D13" i="1"/>
  <c r="E13" i="1"/>
  <c r="F13" i="1"/>
  <c r="G13" i="1"/>
  <c r="H13" i="1"/>
  <c r="I13" i="1"/>
  <c r="B13" i="1"/>
  <c r="B12" i="1"/>
  <c r="C11" i="1"/>
  <c r="B9" i="1"/>
  <c r="C10" i="1"/>
  <c r="D10" i="1"/>
  <c r="E10" i="1"/>
  <c r="F10" i="1"/>
  <c r="G10" i="1"/>
  <c r="H10" i="1"/>
  <c r="I10" i="1"/>
  <c r="D11" i="1"/>
  <c r="E11" i="1"/>
  <c r="F11" i="1"/>
  <c r="G11" i="1"/>
  <c r="H11" i="1"/>
  <c r="I11" i="1"/>
  <c r="B11" i="1"/>
  <c r="B10" i="1"/>
  <c r="C9" i="1"/>
  <c r="D9" i="1"/>
  <c r="E9" i="1"/>
  <c r="F9" i="1"/>
  <c r="G9" i="1"/>
  <c r="H9" i="1"/>
  <c r="I9" i="1"/>
  <c r="B30" i="1" l="1"/>
  <c r="B38" i="1" s="1"/>
  <c r="F29" i="1"/>
  <c r="F37" i="1" s="1"/>
  <c r="H31" i="1"/>
  <c r="H39" i="1" s="1"/>
  <c r="B31" i="1"/>
  <c r="B39" i="1" s="1"/>
  <c r="E29" i="1"/>
  <c r="E37" i="1" s="1"/>
  <c r="G31" i="1"/>
  <c r="G39" i="1" s="1"/>
  <c r="B27" i="1"/>
  <c r="B35" i="1" s="1"/>
  <c r="I28" i="1"/>
  <c r="I36" i="1" s="1"/>
  <c r="D29" i="1"/>
  <c r="D37" i="1" s="1"/>
  <c r="F31" i="1"/>
  <c r="F39" i="1" s="1"/>
  <c r="I27" i="1"/>
  <c r="I35" i="1" s="1"/>
  <c r="H28" i="1"/>
  <c r="H36" i="1" s="1"/>
  <c r="C29" i="1"/>
  <c r="C37" i="1" s="1"/>
  <c r="E31" i="1"/>
  <c r="E39" i="1" s="1"/>
  <c r="H27" i="1"/>
  <c r="H35" i="1" s="1"/>
  <c r="G28" i="1"/>
  <c r="G36" i="1" s="1"/>
  <c r="I30" i="1"/>
  <c r="I38" i="1" s="1"/>
  <c r="D31" i="1"/>
  <c r="D39" i="1" s="1"/>
  <c r="G27" i="1"/>
  <c r="G35" i="1" s="1"/>
  <c r="F28" i="1"/>
  <c r="F36" i="1" s="1"/>
  <c r="H30" i="1"/>
  <c r="H38" i="1" s="1"/>
  <c r="C31" i="1"/>
  <c r="C39" i="1" s="1"/>
  <c r="F27" i="1"/>
  <c r="F35" i="1" s="1"/>
  <c r="C42" i="1" s="1"/>
  <c r="E28" i="1"/>
  <c r="E36" i="1" s="1"/>
  <c r="G30" i="1"/>
  <c r="G38" i="1" s="1"/>
  <c r="C27" i="1"/>
  <c r="C35" i="1" s="1"/>
  <c r="I29" i="1"/>
  <c r="I37" i="1" s="1"/>
  <c r="D30" i="1"/>
  <c r="D38" i="1" s="1"/>
  <c r="B28" i="1"/>
  <c r="B36" i="1" s="1"/>
  <c r="H29" i="1"/>
  <c r="H37" i="1" s="1"/>
  <c r="H42" i="1" l="1"/>
</calcChain>
</file>

<file path=xl/sharedStrings.xml><?xml version="1.0" encoding="utf-8"?>
<sst xmlns="http://schemas.openxmlformats.org/spreadsheetml/2006/main" count="43" uniqueCount="42">
  <si>
    <t>PR-ARZ n°1 (°)</t>
  </si>
  <si>
    <t>PR T (°)</t>
  </si>
  <si>
    <t>PR-T -&gt; position de référence théorique</t>
  </si>
  <si>
    <t>PR-ARZ -&gt; position de référence après remise à zéro</t>
  </si>
  <si>
    <t>PR -&gt; Position de référence</t>
  </si>
  <si>
    <t>PR-ARZ n°2 (°)</t>
  </si>
  <si>
    <t>PR-ARZ n°3 (°)</t>
  </si>
  <si>
    <t>PR-ARZ n°4 (°)</t>
  </si>
  <si>
    <t>PR-ARZ n°5 (°)</t>
  </si>
  <si>
    <t>PR-ARZ n°6 (°)</t>
  </si>
  <si>
    <t>PR-ARZ n°7 (°)</t>
  </si>
  <si>
    <t>PR-ARZ n°8 (°)</t>
  </si>
  <si>
    <t>erreur 1</t>
  </si>
  <si>
    <t>erreur 2</t>
  </si>
  <si>
    <t>erreur 3</t>
  </si>
  <si>
    <t>erreur 4</t>
  </si>
  <si>
    <t>erreur 5</t>
  </si>
  <si>
    <t>erreur 6</t>
  </si>
  <si>
    <t>erreur 7</t>
  </si>
  <si>
    <t>erreur 8</t>
  </si>
  <si>
    <t>PR-M n°1 (°)</t>
  </si>
  <si>
    <t>PR-M n°2 (°)</t>
  </si>
  <si>
    <t>PR-M n°3 (°)</t>
  </si>
  <si>
    <t>PR-M n°4 (°)</t>
  </si>
  <si>
    <t>PR-M n°5 (°)</t>
  </si>
  <si>
    <t>PR-M n°6 (°)</t>
  </si>
  <si>
    <t>PR-M n°7 (°)</t>
  </si>
  <si>
    <t>PR-M n°8 (°)</t>
  </si>
  <si>
    <t>MESURE EN SENS HORAIRE</t>
  </si>
  <si>
    <t>PR-M -&gt;modifier sans decalage</t>
  </si>
  <si>
    <t>offset 1</t>
  </si>
  <si>
    <t>offset 8</t>
  </si>
  <si>
    <t>offset 7</t>
  </si>
  <si>
    <t>offset 6</t>
  </si>
  <si>
    <t>offset 5</t>
  </si>
  <si>
    <t>offset 4</t>
  </si>
  <si>
    <t>offset 3</t>
  </si>
  <si>
    <t>offset 2</t>
  </si>
  <si>
    <t>par rapport au zero de la platine de test</t>
  </si>
  <si>
    <t>erreur general</t>
  </si>
  <si>
    <t>offset general</t>
  </si>
  <si>
    <t>Imprécision globale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</si>
</sst>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4135-72B1-4799-B7DB-73CA29705493}">
  <dimension ref="A1:L42"/>
  <sheetViews>
    <sheetView tabSelected="1" zoomScale="85" zoomScaleNormal="85" workbookViewId="0">
      <selection activeCell="K45" sqref="K45"/>
    </sheetView>
  </sheetViews>
  <sheetFormatPr baseColWidth="10" defaultRowHeight="15" x14ac:dyDescent="0.25"/>
  <cols>
    <col min="1" max="1" width="8.140625" customWidth="1"/>
    <col min="2" max="2" width="13.5703125" customWidth="1"/>
    <col min="3" max="3" width="13.140625" customWidth="1"/>
    <col min="4" max="4" width="13.28515625" customWidth="1"/>
    <col min="5" max="5" width="12.7109375" customWidth="1"/>
    <col min="6" max="8" width="12.85546875" customWidth="1"/>
    <col min="9" max="9" width="12.7109375" customWidth="1"/>
  </cols>
  <sheetData>
    <row r="1" spans="1:12" ht="30.75" customHeight="1" x14ac:dyDescent="0.25">
      <c r="A1" s="1" t="s">
        <v>1</v>
      </c>
      <c r="B1" s="2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K1" s="1"/>
    </row>
    <row r="2" spans="1:12" x14ac:dyDescent="0.25">
      <c r="A2">
        <v>-100</v>
      </c>
      <c r="B2">
        <v>103.77</v>
      </c>
      <c r="C2">
        <v>103.664</v>
      </c>
      <c r="D2">
        <v>103.71599999999999</v>
      </c>
      <c r="E2">
        <v>103.518</v>
      </c>
      <c r="F2">
        <v>103.28400000000001</v>
      </c>
      <c r="G2">
        <v>103.41</v>
      </c>
      <c r="H2">
        <v>103.248</v>
      </c>
      <c r="I2">
        <v>103.392</v>
      </c>
      <c r="L2" t="s">
        <v>28</v>
      </c>
    </row>
    <row r="3" spans="1:12" x14ac:dyDescent="0.25">
      <c r="A3">
        <v>-50</v>
      </c>
      <c r="B3">
        <v>53.496000000000002</v>
      </c>
      <c r="C3">
        <v>53.37</v>
      </c>
      <c r="D3">
        <v>53.567999999999998</v>
      </c>
      <c r="E3">
        <v>53.531999999999996</v>
      </c>
      <c r="F3">
        <v>53.298000000000002</v>
      </c>
      <c r="G3">
        <v>53.496000000000002</v>
      </c>
      <c r="H3">
        <v>53.55</v>
      </c>
      <c r="I3">
        <v>53.676000000000002</v>
      </c>
    </row>
    <row r="4" spans="1:12" x14ac:dyDescent="0.25">
      <c r="A4">
        <v>0</v>
      </c>
      <c r="B4">
        <v>3.4020000000000001</v>
      </c>
      <c r="C4">
        <v>3.8159999999999998</v>
      </c>
      <c r="D4">
        <v>3.7080000000000002</v>
      </c>
      <c r="E4">
        <v>3.762</v>
      </c>
      <c r="F4">
        <v>3.6539999999999999</v>
      </c>
      <c r="G4">
        <v>3.69</v>
      </c>
      <c r="H4">
        <v>3.8519999999999999</v>
      </c>
      <c r="I4">
        <v>3.7080000000000002</v>
      </c>
    </row>
    <row r="5" spans="1:12" x14ac:dyDescent="0.25">
      <c r="A5">
        <v>50</v>
      </c>
      <c r="B5">
        <v>-46.17</v>
      </c>
      <c r="C5">
        <v>-46.223999999999997</v>
      </c>
      <c r="D5">
        <v>-46.206000000000003</v>
      </c>
      <c r="E5">
        <v>-46.314</v>
      </c>
      <c r="F5">
        <v>-46.584000000000003</v>
      </c>
      <c r="G5">
        <v>-46.421999999999997</v>
      </c>
      <c r="H5">
        <v>-46.53</v>
      </c>
      <c r="I5">
        <v>-46.584000000000003</v>
      </c>
    </row>
    <row r="6" spans="1:12" x14ac:dyDescent="0.25">
      <c r="A6">
        <v>100</v>
      </c>
      <c r="B6">
        <v>-96.191999999999993</v>
      </c>
      <c r="C6">
        <v>-96.317999999999998</v>
      </c>
      <c r="D6">
        <v>-96.263999999999996</v>
      </c>
      <c r="E6">
        <v>-96.263999999999996</v>
      </c>
      <c r="F6">
        <v>-96.245999999999995</v>
      </c>
      <c r="G6">
        <v>-96.372</v>
      </c>
      <c r="H6">
        <v>-96.444000000000003</v>
      </c>
      <c r="I6">
        <v>-96.444000000000003</v>
      </c>
      <c r="K6" t="s">
        <v>2</v>
      </c>
    </row>
    <row r="7" spans="1:12" x14ac:dyDescent="0.25">
      <c r="K7" t="s">
        <v>4</v>
      </c>
    </row>
    <row r="8" spans="1:12" x14ac:dyDescent="0.25">
      <c r="B8" t="s">
        <v>30</v>
      </c>
      <c r="C8" t="s">
        <v>37</v>
      </c>
      <c r="D8" t="s">
        <v>36</v>
      </c>
      <c r="E8" t="s">
        <v>35</v>
      </c>
      <c r="F8" t="s">
        <v>34</v>
      </c>
      <c r="G8" t="s">
        <v>33</v>
      </c>
      <c r="H8" t="s">
        <v>32</v>
      </c>
      <c r="I8" t="s">
        <v>31</v>
      </c>
      <c r="K8" t="s">
        <v>3</v>
      </c>
    </row>
    <row r="9" spans="1:12" x14ac:dyDescent="0.25">
      <c r="B9">
        <f>B2-ABS($A2)</f>
        <v>3.769999999999996</v>
      </c>
      <c r="C9">
        <f t="shared" ref="C9:I9" si="0">C2-ABS($A2)</f>
        <v>3.6640000000000015</v>
      </c>
      <c r="D9">
        <f t="shared" si="0"/>
        <v>3.715999999999994</v>
      </c>
      <c r="E9">
        <f t="shared" si="0"/>
        <v>3.5180000000000007</v>
      </c>
      <c r="F9">
        <f t="shared" si="0"/>
        <v>3.284000000000006</v>
      </c>
      <c r="G9">
        <f t="shared" si="0"/>
        <v>3.4099999999999966</v>
      </c>
      <c r="H9">
        <f t="shared" si="0"/>
        <v>3.2480000000000047</v>
      </c>
      <c r="I9">
        <f t="shared" si="0"/>
        <v>3.3919999999999959</v>
      </c>
    </row>
    <row r="10" spans="1:12" x14ac:dyDescent="0.25">
      <c r="B10">
        <f>B3-ABS($A3)</f>
        <v>3.4960000000000022</v>
      </c>
      <c r="C10">
        <f t="shared" ref="C10:I10" si="1">C3-ABS($A3)</f>
        <v>3.3699999999999974</v>
      </c>
      <c r="D10">
        <f t="shared" si="1"/>
        <v>3.5679999999999978</v>
      </c>
      <c r="E10">
        <f t="shared" si="1"/>
        <v>3.5319999999999965</v>
      </c>
      <c r="F10">
        <f t="shared" si="1"/>
        <v>3.2980000000000018</v>
      </c>
      <c r="G10">
        <f t="shared" si="1"/>
        <v>3.4960000000000022</v>
      </c>
      <c r="H10">
        <f t="shared" si="1"/>
        <v>3.5499999999999972</v>
      </c>
      <c r="I10">
        <f t="shared" si="1"/>
        <v>3.6760000000000019</v>
      </c>
    </row>
    <row r="11" spans="1:12" x14ac:dyDescent="0.25">
      <c r="B11">
        <f t="shared" ref="B11:I11" si="2">B4-ABS($A4)</f>
        <v>3.4020000000000001</v>
      </c>
      <c r="C11">
        <f>C4-ABS($A4)</f>
        <v>3.8159999999999998</v>
      </c>
      <c r="D11">
        <f t="shared" si="2"/>
        <v>3.7080000000000002</v>
      </c>
      <c r="E11">
        <f t="shared" si="2"/>
        <v>3.762</v>
      </c>
      <c r="F11">
        <f t="shared" si="2"/>
        <v>3.6539999999999999</v>
      </c>
      <c r="G11">
        <f t="shared" si="2"/>
        <v>3.69</v>
      </c>
      <c r="H11">
        <f t="shared" si="2"/>
        <v>3.8519999999999999</v>
      </c>
      <c r="I11">
        <f t="shared" si="2"/>
        <v>3.7080000000000002</v>
      </c>
    </row>
    <row r="12" spans="1:12" x14ac:dyDescent="0.25">
      <c r="B12">
        <f>(B5 + $A5)</f>
        <v>3.8299999999999983</v>
      </c>
      <c r="C12">
        <f t="shared" ref="C12:I12" si="3">(C5 + $A5)</f>
        <v>3.7760000000000034</v>
      </c>
      <c r="D12">
        <f t="shared" si="3"/>
        <v>3.7939999999999969</v>
      </c>
      <c r="E12">
        <f t="shared" si="3"/>
        <v>3.6859999999999999</v>
      </c>
      <c r="F12">
        <f t="shared" si="3"/>
        <v>3.4159999999999968</v>
      </c>
      <c r="G12">
        <f t="shared" si="3"/>
        <v>3.578000000000003</v>
      </c>
      <c r="H12">
        <f t="shared" si="3"/>
        <v>3.4699999999999989</v>
      </c>
      <c r="I12">
        <f t="shared" si="3"/>
        <v>3.4159999999999968</v>
      </c>
    </row>
    <row r="13" spans="1:12" x14ac:dyDescent="0.25">
      <c r="B13">
        <f>(B6 + $A6)</f>
        <v>3.8080000000000069</v>
      </c>
      <c r="C13">
        <f t="shared" ref="C13:I13" si="4">(C6 + $A6)</f>
        <v>3.6820000000000022</v>
      </c>
      <c r="D13">
        <f t="shared" si="4"/>
        <v>3.7360000000000042</v>
      </c>
      <c r="E13">
        <f t="shared" si="4"/>
        <v>3.7360000000000042</v>
      </c>
      <c r="F13">
        <f t="shared" si="4"/>
        <v>3.7540000000000049</v>
      </c>
      <c r="G13">
        <f t="shared" si="4"/>
        <v>3.6280000000000001</v>
      </c>
      <c r="H13">
        <f t="shared" si="4"/>
        <v>3.5559999999999974</v>
      </c>
      <c r="I13">
        <f t="shared" si="4"/>
        <v>3.5559999999999974</v>
      </c>
    </row>
    <row r="17" spans="1:11" x14ac:dyDescent="0.25">
      <c r="B17" t="s">
        <v>40</v>
      </c>
      <c r="C17">
        <f xml:space="preserve"> AVERAGE(B9:I13)</f>
        <v>3.6000499999999986</v>
      </c>
      <c r="D17" t="s">
        <v>38</v>
      </c>
    </row>
    <row r="26" spans="1:11" x14ac:dyDescent="0.25">
      <c r="A26" s="1" t="s">
        <v>1</v>
      </c>
      <c r="B26" s="2" t="s">
        <v>20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27</v>
      </c>
      <c r="K26" s="1" t="s">
        <v>29</v>
      </c>
    </row>
    <row r="27" spans="1:11" x14ac:dyDescent="0.25">
      <c r="A27">
        <v>-100</v>
      </c>
      <c r="B27">
        <f>B2-$C17</f>
        <v>100.16995</v>
      </c>
      <c r="C27">
        <f t="shared" ref="C27:I27" si="5">C2-$C17</f>
        <v>100.06395000000001</v>
      </c>
      <c r="D27">
        <f t="shared" si="5"/>
        <v>100.11595</v>
      </c>
      <c r="E27">
        <f t="shared" si="5"/>
        <v>99.917950000000005</v>
      </c>
      <c r="F27">
        <f t="shared" si="5"/>
        <v>99.68395000000001</v>
      </c>
      <c r="G27">
        <f t="shared" si="5"/>
        <v>99.809950000000001</v>
      </c>
      <c r="H27">
        <f t="shared" si="5"/>
        <v>99.647950000000009</v>
      </c>
      <c r="I27">
        <f t="shared" si="5"/>
        <v>99.79195</v>
      </c>
    </row>
    <row r="28" spans="1:11" x14ac:dyDescent="0.25">
      <c r="A28">
        <v>-50</v>
      </c>
      <c r="B28">
        <f>B3-$C17</f>
        <v>49.895950000000006</v>
      </c>
      <c r="C28">
        <f t="shared" ref="C28:I28" si="6">C3-$C17</f>
        <v>49.769950000000001</v>
      </c>
      <c r="D28">
        <f t="shared" si="6"/>
        <v>49.967950000000002</v>
      </c>
      <c r="E28">
        <f t="shared" si="6"/>
        <v>49.931950000000001</v>
      </c>
      <c r="F28">
        <f t="shared" si="6"/>
        <v>49.697950000000006</v>
      </c>
      <c r="G28">
        <f t="shared" si="6"/>
        <v>49.895950000000006</v>
      </c>
      <c r="H28">
        <f t="shared" si="6"/>
        <v>49.949950000000001</v>
      </c>
      <c r="I28">
        <f t="shared" si="6"/>
        <v>50.075950000000006</v>
      </c>
    </row>
    <row r="29" spans="1:11" x14ac:dyDescent="0.25">
      <c r="A29">
        <v>0</v>
      </c>
      <c r="B29">
        <f>B4-$C17</f>
        <v>-0.19804999999999851</v>
      </c>
      <c r="C29">
        <f t="shared" ref="C29:I29" si="7">C4-$C17</f>
        <v>0.2159500000000012</v>
      </c>
      <c r="D29">
        <f t="shared" si="7"/>
        <v>0.10795000000000154</v>
      </c>
      <c r="E29">
        <f t="shared" si="7"/>
        <v>0.16195000000000137</v>
      </c>
      <c r="F29">
        <f t="shared" si="7"/>
        <v>5.3950000000001275E-2</v>
      </c>
      <c r="G29">
        <f t="shared" si="7"/>
        <v>8.9950000000001307E-2</v>
      </c>
      <c r="H29">
        <f t="shared" si="7"/>
        <v>0.25195000000000123</v>
      </c>
      <c r="I29">
        <f t="shared" si="7"/>
        <v>0.10795000000000154</v>
      </c>
    </row>
    <row r="30" spans="1:11" x14ac:dyDescent="0.25">
      <c r="A30">
        <v>50</v>
      </c>
      <c r="B30">
        <f>B5-$C17</f>
        <v>-49.770049999999998</v>
      </c>
      <c r="C30">
        <f t="shared" ref="C30:I30" si="8">C5-$C17</f>
        <v>-49.824049999999993</v>
      </c>
      <c r="D30">
        <f t="shared" si="8"/>
        <v>-49.806049999999999</v>
      </c>
      <c r="E30">
        <f t="shared" si="8"/>
        <v>-49.914049999999996</v>
      </c>
      <c r="F30">
        <f t="shared" si="8"/>
        <v>-50.184049999999999</v>
      </c>
      <c r="G30">
        <f t="shared" si="8"/>
        <v>-50.022049999999993</v>
      </c>
      <c r="H30">
        <f t="shared" si="8"/>
        <v>-50.130049999999997</v>
      </c>
      <c r="I30">
        <f t="shared" si="8"/>
        <v>-50.184049999999999</v>
      </c>
    </row>
    <row r="31" spans="1:11" x14ac:dyDescent="0.25">
      <c r="A31">
        <v>100</v>
      </c>
      <c r="B31">
        <f>B6-$C17</f>
        <v>-99.792049999999989</v>
      </c>
      <c r="C31">
        <f t="shared" ref="C31:I31" si="9">C6-$C17</f>
        <v>-99.918049999999994</v>
      </c>
      <c r="D31">
        <f t="shared" si="9"/>
        <v>-99.864049999999992</v>
      </c>
      <c r="E31">
        <f t="shared" si="9"/>
        <v>-99.864049999999992</v>
      </c>
      <c r="F31">
        <f t="shared" si="9"/>
        <v>-99.846049999999991</v>
      </c>
      <c r="G31">
        <f t="shared" si="9"/>
        <v>-99.972049999999996</v>
      </c>
      <c r="H31">
        <f t="shared" si="9"/>
        <v>-100.04405</v>
      </c>
      <c r="I31">
        <f t="shared" si="9"/>
        <v>-100.04405</v>
      </c>
    </row>
    <row r="34" spans="2:9" x14ac:dyDescent="0.25"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</row>
    <row r="35" spans="2:9" x14ac:dyDescent="0.25">
      <c r="B35">
        <f>ABS(B27-ABS($A27))</f>
        <v>0.16995000000000005</v>
      </c>
      <c r="C35">
        <f t="shared" ref="C35:I35" si="10">ABS(C27-ABS($A27))</f>
        <v>6.3950000000005502E-2</v>
      </c>
      <c r="D35">
        <f t="shared" si="10"/>
        <v>0.115949999999998</v>
      </c>
      <c r="E35">
        <f t="shared" si="10"/>
        <v>8.2049999999995293E-2</v>
      </c>
      <c r="F35">
        <f t="shared" si="10"/>
        <v>0.31604999999998995</v>
      </c>
      <c r="G35">
        <f t="shared" si="10"/>
        <v>0.19004999999999939</v>
      </c>
      <c r="H35">
        <f t="shared" si="10"/>
        <v>0.35204999999999131</v>
      </c>
      <c r="I35">
        <f t="shared" si="10"/>
        <v>0.20805000000000007</v>
      </c>
    </row>
    <row r="36" spans="2:9" x14ac:dyDescent="0.25">
      <c r="B36">
        <f>ABS(B28-ABS($A28))</f>
        <v>0.10404999999999376</v>
      </c>
      <c r="C36">
        <f t="shared" ref="C36:I36" si="11">ABS(C28-ABS($A28))</f>
        <v>0.23004999999999853</v>
      </c>
      <c r="D36">
        <f t="shared" si="11"/>
        <v>3.2049999999998136E-2</v>
      </c>
      <c r="E36">
        <f t="shared" si="11"/>
        <v>6.80499999999995E-2</v>
      </c>
      <c r="F36">
        <f t="shared" si="11"/>
        <v>0.30204999999999416</v>
      </c>
      <c r="G36">
        <f t="shared" si="11"/>
        <v>0.10404999999999376</v>
      </c>
      <c r="H36">
        <f t="shared" si="11"/>
        <v>5.0049999999998818E-2</v>
      </c>
      <c r="I36">
        <f t="shared" si="11"/>
        <v>7.5950000000005957E-2</v>
      </c>
    </row>
    <row r="37" spans="2:9" x14ac:dyDescent="0.25">
      <c r="B37">
        <f>ABS(B29-ABS($A29))</f>
        <v>0.19804999999999851</v>
      </c>
      <c r="C37">
        <f t="shared" ref="C37:I37" si="12">ABS(C29-ABS($A29))</f>
        <v>0.2159500000000012</v>
      </c>
      <c r="D37">
        <f t="shared" si="12"/>
        <v>0.10795000000000154</v>
      </c>
      <c r="E37">
        <f t="shared" si="12"/>
        <v>0.16195000000000137</v>
      </c>
      <c r="F37">
        <f t="shared" si="12"/>
        <v>5.3950000000001275E-2</v>
      </c>
      <c r="G37">
        <f t="shared" si="12"/>
        <v>8.9950000000001307E-2</v>
      </c>
      <c r="H37">
        <f t="shared" si="12"/>
        <v>0.25195000000000123</v>
      </c>
      <c r="I37">
        <f t="shared" si="12"/>
        <v>0.10795000000000154</v>
      </c>
    </row>
    <row r="38" spans="2:9" x14ac:dyDescent="0.25">
      <c r="B38">
        <f>ABS((B30 + $A30))</f>
        <v>0.22995000000000232</v>
      </c>
      <c r="C38">
        <f t="shared" ref="C38:I38" si="13">ABS((C30 + $A30))</f>
        <v>0.17595000000000738</v>
      </c>
      <c r="D38">
        <f t="shared" si="13"/>
        <v>0.19395000000000095</v>
      </c>
      <c r="E38">
        <f t="shared" si="13"/>
        <v>8.5950000000003968E-2</v>
      </c>
      <c r="F38">
        <f t="shared" si="13"/>
        <v>0.18404999999999916</v>
      </c>
      <c r="G38">
        <f t="shared" si="13"/>
        <v>2.204999999999302E-2</v>
      </c>
      <c r="H38">
        <f t="shared" si="13"/>
        <v>0.13004999999999711</v>
      </c>
      <c r="I38">
        <f t="shared" si="13"/>
        <v>0.18404999999999916</v>
      </c>
    </row>
    <row r="39" spans="2:9" x14ac:dyDescent="0.25">
      <c r="B39">
        <f>ABS((B31 + $A31))</f>
        <v>0.20795000000001096</v>
      </c>
      <c r="C39">
        <f t="shared" ref="C39:I39" si="14">ABS((C31 + $A31))</f>
        <v>8.1950000000006185E-2</v>
      </c>
      <c r="D39">
        <f t="shared" si="14"/>
        <v>0.13595000000000823</v>
      </c>
      <c r="E39">
        <f t="shared" si="14"/>
        <v>0.13595000000000823</v>
      </c>
      <c r="F39">
        <f t="shared" si="14"/>
        <v>0.15395000000000891</v>
      </c>
      <c r="G39">
        <f t="shared" si="14"/>
        <v>2.7950000000004138E-2</v>
      </c>
      <c r="H39">
        <f t="shared" si="14"/>
        <v>4.404999999999859E-2</v>
      </c>
      <c r="I39">
        <f t="shared" si="14"/>
        <v>4.404999999999859E-2</v>
      </c>
    </row>
    <row r="42" spans="2:9" x14ac:dyDescent="0.25">
      <c r="B42" t="s">
        <v>39</v>
      </c>
      <c r="C42">
        <f>AVERAGE(B35:I39)</f>
        <v>0.14224750000000044</v>
      </c>
      <c r="F42" t="s">
        <v>41</v>
      </c>
      <c r="H42">
        <f>STDEV(B35:I39)</f>
        <v>8.2569915945401112E-2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07652d-f071-4bcf-9231-b18151605f4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7AD128BEA2FB4DA9DC90AD72B86C11" ma:contentTypeVersion="6" ma:contentTypeDescription="Crée un document." ma:contentTypeScope="" ma:versionID="fe2f115ef48ddf8718deab59196f74d9">
  <xsd:schema xmlns:xsd="http://www.w3.org/2001/XMLSchema" xmlns:xs="http://www.w3.org/2001/XMLSchema" xmlns:p="http://schemas.microsoft.com/office/2006/metadata/properties" xmlns:ns3="a007652d-f071-4bcf-9231-b18151605f47" targetNamespace="http://schemas.microsoft.com/office/2006/metadata/properties" ma:root="true" ma:fieldsID="e031690783f1a2da10c45af982698f6b" ns3:_="">
    <xsd:import namespace="a007652d-f071-4bcf-9231-b18151605f4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7652d-f071-4bcf-9231-b18151605f4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A14303-7BE3-4B65-8C7C-A9368ED2EE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4CE283-DB77-4883-80B8-9CE88BC365E1}">
  <ds:schemaRefs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a007652d-f071-4bcf-9231-b18151605f4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78B8EFD-64BE-4011-BF6B-B124C50AB1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07652d-f071-4bcf-9231-b18151605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 OLOU</dc:creator>
  <cp:lastModifiedBy>ANGE OLOU</cp:lastModifiedBy>
  <dcterms:created xsi:type="dcterms:W3CDTF">2025-07-14T10:06:48Z</dcterms:created>
  <dcterms:modified xsi:type="dcterms:W3CDTF">2025-07-15T14:44:01Z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0x0101005C7AD128BEA2FB4DA9DC90AD72B86C11</vt:lpwstr>
  </property>
</Properties>
</file>